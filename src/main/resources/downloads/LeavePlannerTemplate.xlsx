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F0EF2933-123E-4D48-9E17-E6F28354889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Mar-26" sheetId="1" r:id="rId1"/>
    <sheet name="Cou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3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4" i="2"/>
  <c r="C5" i="2"/>
  <c r="C6" i="2"/>
  <c r="C3" i="2"/>
  <c r="AI4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AI7" i="1"/>
  <c r="AH7" i="1"/>
  <c r="AI6" i="1"/>
  <c r="AH6" i="1"/>
  <c r="AI5" i="1"/>
  <c r="AH5" i="1"/>
  <c r="AH4" i="1"/>
  <c r="AI3" i="1"/>
  <c r="AI22" i="1" s="1"/>
  <c r="AH3" i="1"/>
  <c r="AH22" i="1" s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<sst xmlns="http://schemas.openxmlformats.org/spreadsheetml/2006/main" count="236" uniqueCount="29">
  <si>
    <t>Date</t>
  </si>
  <si>
    <t>Total Leaves</t>
  </si>
  <si>
    <t>Working Days</t>
  </si>
  <si>
    <t>Name/Day</t>
  </si>
  <si>
    <t>Team</t>
  </si>
  <si>
    <t>Steven Spielberg</t>
  </si>
  <si>
    <t>Sydney - Williams</t>
  </si>
  <si>
    <t>Weekend</t>
  </si>
  <si>
    <t>PL</t>
  </si>
  <si>
    <t>H</t>
  </si>
  <si>
    <t>Christopher Nolan</t>
  </si>
  <si>
    <t>Sydney - BSH</t>
  </si>
  <si>
    <t>Sam Raimi</t>
  </si>
  <si>
    <t>Sydney - Renault</t>
  </si>
  <si>
    <t>Anurag Kashyap</t>
  </si>
  <si>
    <t>Sydney- Mobile</t>
  </si>
  <si>
    <t>Absence Type</t>
  </si>
  <si>
    <t>Code</t>
  </si>
  <si>
    <t xml:space="preserve">Planned Leave </t>
  </si>
  <si>
    <t>Holiday and Bank Holiday</t>
  </si>
  <si>
    <t>Morning Leave</t>
  </si>
  <si>
    <t>L1</t>
  </si>
  <si>
    <t>Afternoon Leave</t>
  </si>
  <si>
    <t>L2</t>
  </si>
  <si>
    <t>Unplanned Leave</t>
  </si>
  <si>
    <t>UL</t>
  </si>
  <si>
    <t>Leaves</t>
  </si>
  <si>
    <t>Jan- Mar</t>
  </si>
  <si>
    <t>Apr -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</si>
</sst>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4E0B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7" borderId="1" xfId="0" applyFont="1" applyFill="1" applyBorder="1"/>
    <xf numFmtId="0" fontId="0" fillId="0" borderId="0" xfId="0" applyAlignment="1">
      <alignment vertical="center"/>
    </xf>
    <xf numFmtId="0" fontId="4" fillId="9" borderId="1" xfId="0" applyFont="1" applyFill="1" applyBorder="1"/>
    <xf numFmtId="0" fontId="0" fillId="10" borderId="1" xfId="0" applyFill="1" applyBorder="1"/>
    <xf numFmtId="0" fontId="3" fillId="3" borderId="1" xfId="0" applyFont="1" applyFill="1" applyBorder="1"/>
    <xf numFmtId="0" fontId="3" fillId="8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</cellXfs>
  <cellStyles count="1">
    <cellStyle name="Normal" xfId="0" builtinId="0"/>
  </cellStyles>
  <dxfs count="1"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topLeftCell="P1" workbookViewId="0">
      <selection activeCell="AL10" sqref="AL10"/>
    </sheetView>
  </sheetViews>
  <sheetFormatPr defaultRowHeight="15"/>
  <cols>
    <col min="1" max="1" width="24.42578125" bestFit="1" customWidth="1"/>
    <col min="2" max="2" width="16.5703125" bestFit="1" customWidth="1"/>
  </cols>
  <sheetData>
    <row r="1" spans="1:35">
      <c r="A1" s="1" t="s">
        <v>0</v>
      </c>
      <c r="B1" s="1"/>
      <c r="C1" s="2">
        <v>46082</v>
      </c>
      <c r="D1" s="2">
        <v>46083</v>
      </c>
      <c r="E1" s="2">
        <v>46084</v>
      </c>
      <c r="F1" s="2">
        <v>46085</v>
      </c>
      <c r="G1" s="2">
        <v>46086</v>
      </c>
      <c r="H1" s="2">
        <v>46087</v>
      </c>
      <c r="I1" s="2">
        <v>46088</v>
      </c>
      <c r="J1" s="2">
        <v>46089</v>
      </c>
      <c r="K1" s="2">
        <v>46090</v>
      </c>
      <c r="L1" s="2">
        <v>46091</v>
      </c>
      <c r="M1" s="2">
        <v>46092</v>
      </c>
      <c r="N1" s="2">
        <v>46093</v>
      </c>
      <c r="O1" s="2">
        <v>46094</v>
      </c>
      <c r="P1" s="2">
        <v>46095</v>
      </c>
      <c r="Q1" s="2">
        <v>46096</v>
      </c>
      <c r="R1" s="2">
        <v>46097</v>
      </c>
      <c r="S1" s="2">
        <v>46098</v>
      </c>
      <c r="T1" s="2">
        <v>46099</v>
      </c>
      <c r="U1" s="2">
        <v>46100</v>
      </c>
      <c r="V1" s="2">
        <v>46101</v>
      </c>
      <c r="W1" s="2">
        <v>46102</v>
      </c>
      <c r="X1" s="2">
        <v>46103</v>
      </c>
      <c r="Y1" s="2">
        <v>46104</v>
      </c>
      <c r="Z1" s="2">
        <v>46105</v>
      </c>
      <c r="AA1" s="2">
        <v>46106</v>
      </c>
      <c r="AB1" s="2">
        <v>46107</v>
      </c>
      <c r="AC1" s="2">
        <v>46108</v>
      </c>
      <c r="AD1" s="2">
        <v>46109</v>
      </c>
      <c r="AE1" s="2">
        <v>46110</v>
      </c>
      <c r="AF1" s="2">
        <v>46111</v>
      </c>
      <c r="AG1" s="2">
        <v>46112</v>
      </c>
      <c r="AH1" s="3" t="s">
        <v>1</v>
      </c>
      <c r="AI1" s="3" t="s">
        <v>2</v>
      </c>
    </row>
    <row r="2" spans="1:35">
      <c r="A2" s="4" t="s">
        <v>3</v>
      </c>
      <c r="B2" s="4" t="s">
        <v>4</v>
      </c>
      <c r="C2" s="5" t="str">
        <f>TEXT(C1,"dddd")</f>
        <v>Sunday</v>
      </c>
      <c r="D2" s="5" t="str">
        <f>TEXT(D1,"dddd")</f>
        <v>Monday</v>
      </c>
      <c r="E2" s="5" t="str">
        <f t="shared" ref="E2:AG2" si="0">TEXT(E1,"dddd")</f>
        <v>Tuesday</v>
      </c>
      <c r="F2" s="5" t="str">
        <f t="shared" si="0"/>
        <v>Wednesday</v>
      </c>
      <c r="G2" s="5" t="str">
        <f t="shared" si="0"/>
        <v>Thursday</v>
      </c>
      <c r="H2" s="5" t="str">
        <f t="shared" si="0"/>
        <v>Friday</v>
      </c>
      <c r="I2" s="5" t="str">
        <f t="shared" si="0"/>
        <v>Saturday</v>
      </c>
      <c r="J2" s="5" t="str">
        <f t="shared" si="0"/>
        <v>Sunday</v>
      </c>
      <c r="K2" s="5" t="str">
        <f t="shared" si="0"/>
        <v>Monday</v>
      </c>
      <c r="L2" s="5" t="str">
        <f t="shared" si="0"/>
        <v>Tuesday</v>
      </c>
      <c r="M2" s="5" t="str">
        <f t="shared" si="0"/>
        <v>Wednesday</v>
      </c>
      <c r="N2" s="5" t="str">
        <f t="shared" si="0"/>
        <v>Thursday</v>
      </c>
      <c r="O2" s="5" t="str">
        <f t="shared" si="0"/>
        <v>Friday</v>
      </c>
      <c r="P2" s="5" t="str">
        <f t="shared" si="0"/>
        <v>Saturday</v>
      </c>
      <c r="Q2" s="5" t="str">
        <f t="shared" si="0"/>
        <v>Sunday</v>
      </c>
      <c r="R2" s="5" t="str">
        <f t="shared" si="0"/>
        <v>Monday</v>
      </c>
      <c r="S2" s="5" t="str">
        <f t="shared" si="0"/>
        <v>Tuesday</v>
      </c>
      <c r="T2" s="5" t="str">
        <f t="shared" si="0"/>
        <v>Wednesday</v>
      </c>
      <c r="U2" s="5" t="str">
        <f t="shared" si="0"/>
        <v>Thursday</v>
      </c>
      <c r="V2" s="5" t="str">
        <f t="shared" si="0"/>
        <v>Friday</v>
      </c>
      <c r="W2" s="5" t="str">
        <f t="shared" si="0"/>
        <v>Saturday</v>
      </c>
      <c r="X2" s="5" t="str">
        <f t="shared" si="0"/>
        <v>Sunday</v>
      </c>
      <c r="Y2" s="5" t="str">
        <f t="shared" si="0"/>
        <v>Monday</v>
      </c>
      <c r="Z2" s="5" t="str">
        <f t="shared" si="0"/>
        <v>Tuesday</v>
      </c>
      <c r="AA2" s="5" t="str">
        <f t="shared" si="0"/>
        <v>Wednesday</v>
      </c>
      <c r="AB2" s="5" t="str">
        <f t="shared" si="0"/>
        <v>Thursday</v>
      </c>
      <c r="AC2" s="5" t="str">
        <f t="shared" si="0"/>
        <v>Friday</v>
      </c>
      <c r="AD2" s="5" t="str">
        <f t="shared" si="0"/>
        <v>Saturday</v>
      </c>
      <c r="AE2" s="5" t="str">
        <f t="shared" si="0"/>
        <v>Sunday</v>
      </c>
      <c r="AF2" s="5" t="str">
        <f t="shared" si="0"/>
        <v>Monday</v>
      </c>
      <c r="AG2" s="5" t="str">
        <f t="shared" si="0"/>
        <v>Tuesday</v>
      </c>
      <c r="AH2" s="3"/>
      <c r="AI2" s="3"/>
    </row>
    <row r="3" spans="1:35">
      <c r="A3" s="6" t="s">
        <v>5</v>
      </c>
      <c r="B3" s="6" t="s">
        <v>6</v>
      </c>
      <c r="C3" s="7" t="s">
        <v>7</v>
      </c>
      <c r="D3" s="8"/>
      <c r="E3" s="8" t="s">
        <v>8</v>
      </c>
      <c r="F3" s="9" t="s">
        <v>9</v>
      </c>
      <c r="G3" s="8"/>
      <c r="H3" s="8"/>
      <c r="I3" s="7" t="s">
        <v>7</v>
      </c>
      <c r="J3" s="7" t="s">
        <v>7</v>
      </c>
      <c r="K3" s="8"/>
      <c r="L3" s="8"/>
      <c r="M3" s="8"/>
      <c r="N3" s="8"/>
      <c r="O3" s="8"/>
      <c r="P3" s="7" t="s">
        <v>7</v>
      </c>
      <c r="Q3" s="7" t="s">
        <v>7</v>
      </c>
      <c r="R3" s="19"/>
      <c r="S3" s="19"/>
      <c r="T3" s="19"/>
      <c r="U3" s="19"/>
      <c r="V3" s="19"/>
      <c r="W3" s="7" t="s">
        <v>7</v>
      </c>
      <c r="X3" s="7" t="s">
        <v>7</v>
      </c>
      <c r="Y3" s="19"/>
      <c r="Z3" s="19"/>
      <c r="AA3" s="19"/>
      <c r="AB3" s="19"/>
      <c r="AC3" s="19"/>
      <c r="AD3" s="7" t="s">
        <v>7</v>
      </c>
      <c r="AE3" s="7" t="s">
        <v>7</v>
      </c>
      <c r="AF3" s="19"/>
      <c r="AG3" s="19"/>
      <c r="AH3" s="10">
        <f t="shared" ref="AH3:AH21" si="1">COUNTIF(C3:AG3, "PL") + COUNTIF(C3:AG3, "UL")</f>
        <v>1</v>
      </c>
      <c r="AI3" s="11">
        <f t="shared" ref="AI3:AI21" si="2">COUNTBLANK(C3:AG3)</f>
        <v>20</v>
      </c>
    </row>
    <row r="4" spans="1:35">
      <c r="A4" s="6" t="s">
        <v>10</v>
      </c>
      <c r="B4" s="6" t="s">
        <v>11</v>
      </c>
      <c r="C4" s="7" t="s">
        <v>7</v>
      </c>
      <c r="D4" s="8"/>
      <c r="E4" s="8"/>
      <c r="F4" s="9" t="s">
        <v>9</v>
      </c>
      <c r="G4" s="8"/>
      <c r="H4" s="8"/>
      <c r="I4" s="7" t="s">
        <v>7</v>
      </c>
      <c r="J4" s="7" t="s">
        <v>7</v>
      </c>
      <c r="K4" s="8"/>
      <c r="L4" s="8"/>
      <c r="M4" s="8"/>
      <c r="N4" s="8"/>
      <c r="O4" s="8"/>
      <c r="P4" s="7" t="s">
        <v>7</v>
      </c>
      <c r="Q4" s="7" t="s">
        <v>7</v>
      </c>
      <c r="R4" s="19" t="s">
        <v>8</v>
      </c>
      <c r="S4" s="19" t="s">
        <v>8</v>
      </c>
      <c r="T4" s="19"/>
      <c r="U4" s="19"/>
      <c r="V4" s="19"/>
      <c r="W4" s="7" t="s">
        <v>7</v>
      </c>
      <c r="X4" s="7" t="s">
        <v>7</v>
      </c>
      <c r="Y4" s="19"/>
      <c r="Z4" s="19"/>
      <c r="AA4" s="19"/>
      <c r="AB4" s="19"/>
      <c r="AC4" s="19"/>
      <c r="AD4" s="7" t="s">
        <v>7</v>
      </c>
      <c r="AE4" s="7" t="s">
        <v>7</v>
      </c>
      <c r="AF4" s="19"/>
      <c r="AG4" s="19"/>
      <c r="AH4" s="10">
        <f t="shared" si="1"/>
        <v>2</v>
      </c>
      <c r="AI4" s="11">
        <f t="shared" si="2"/>
        <v>19</v>
      </c>
    </row>
    <row r="5" spans="1:35">
      <c r="A5" s="6" t="s">
        <v>12</v>
      </c>
      <c r="B5" s="6" t="s">
        <v>13</v>
      </c>
      <c r="C5" s="7" t="s">
        <v>7</v>
      </c>
      <c r="D5" s="8"/>
      <c r="E5" s="8"/>
      <c r="F5" s="9" t="s">
        <v>9</v>
      </c>
      <c r="G5" s="8"/>
      <c r="H5" s="8"/>
      <c r="I5" s="7" t="s">
        <v>7</v>
      </c>
      <c r="J5" s="7" t="s">
        <v>7</v>
      </c>
      <c r="K5" s="8" t="s">
        <v>8</v>
      </c>
      <c r="L5" s="8"/>
      <c r="M5" s="8"/>
      <c r="N5" s="8"/>
      <c r="O5" s="8"/>
      <c r="P5" s="7" t="s">
        <v>7</v>
      </c>
      <c r="Q5" s="7" t="s">
        <v>7</v>
      </c>
      <c r="R5" s="19"/>
      <c r="S5" s="19"/>
      <c r="T5" s="19"/>
      <c r="U5" s="19"/>
      <c r="V5" s="19"/>
      <c r="W5" s="7" t="s">
        <v>7</v>
      </c>
      <c r="X5" s="7" t="s">
        <v>7</v>
      </c>
      <c r="Y5" s="19"/>
      <c r="Z5" s="19"/>
      <c r="AA5" s="19"/>
      <c r="AB5" s="19"/>
      <c r="AC5" s="19"/>
      <c r="AD5" s="7" t="s">
        <v>7</v>
      </c>
      <c r="AE5" s="7" t="s">
        <v>7</v>
      </c>
      <c r="AF5" s="19"/>
      <c r="AG5" s="19"/>
      <c r="AH5" s="10">
        <f t="shared" si="1"/>
        <v>1</v>
      </c>
      <c r="AI5" s="11">
        <f t="shared" si="2"/>
        <v>20</v>
      </c>
    </row>
    <row r="6" spans="1:35">
      <c r="A6" s="6" t="s">
        <v>14</v>
      </c>
      <c r="B6" s="6" t="s">
        <v>15</v>
      </c>
      <c r="C6" s="7" t="s">
        <v>7</v>
      </c>
      <c r="D6" s="8"/>
      <c r="E6" s="8"/>
      <c r="F6" s="9" t="s">
        <v>9</v>
      </c>
      <c r="G6" s="8"/>
      <c r="H6" s="8"/>
      <c r="I6" s="7" t="s">
        <v>7</v>
      </c>
      <c r="J6" s="7" t="s">
        <v>7</v>
      </c>
      <c r="K6" s="8"/>
      <c r="L6" s="8" t="s">
        <v>8</v>
      </c>
      <c r="M6" s="8"/>
      <c r="N6" s="8"/>
      <c r="O6" s="8"/>
      <c r="P6" s="7" t="s">
        <v>7</v>
      </c>
      <c r="Q6" s="7" t="s">
        <v>7</v>
      </c>
      <c r="R6" s="19"/>
      <c r="S6" s="19"/>
      <c r="T6" s="19"/>
      <c r="U6" s="19"/>
      <c r="V6" s="19"/>
      <c r="W6" s="7" t="s">
        <v>7</v>
      </c>
      <c r="X6" s="7" t="s">
        <v>7</v>
      </c>
      <c r="Y6" s="19"/>
      <c r="Z6" s="19"/>
      <c r="AA6" s="19"/>
      <c r="AB6" s="19"/>
      <c r="AC6" s="19"/>
      <c r="AD6" s="7" t="s">
        <v>7</v>
      </c>
      <c r="AE6" s="7" t="s">
        <v>7</v>
      </c>
      <c r="AF6" s="19"/>
      <c r="AG6" s="19"/>
      <c r="AH6" s="10">
        <f t="shared" si="1"/>
        <v>1</v>
      </c>
      <c r="AI6" s="11">
        <f t="shared" si="2"/>
        <v>20</v>
      </c>
    </row>
    <row r="7" spans="1:35">
      <c r="A7" s="6"/>
      <c r="B7" s="6"/>
      <c r="C7" s="7" t="s">
        <v>7</v>
      </c>
      <c r="D7" s="8"/>
      <c r="E7" s="8"/>
      <c r="F7" s="9" t="s">
        <v>9</v>
      </c>
      <c r="G7" s="8"/>
      <c r="H7" s="8"/>
      <c r="I7" s="7" t="s">
        <v>7</v>
      </c>
      <c r="J7" s="7" t="s">
        <v>7</v>
      </c>
      <c r="K7" s="8"/>
      <c r="L7" s="8"/>
      <c r="M7" s="8"/>
      <c r="N7" s="8"/>
      <c r="O7" s="8"/>
      <c r="P7" s="7" t="s">
        <v>7</v>
      </c>
      <c r="Q7" s="7" t="s">
        <v>7</v>
      </c>
      <c r="R7" s="19"/>
      <c r="S7" s="19"/>
      <c r="T7" s="19"/>
      <c r="U7" s="19"/>
      <c r="V7" s="19"/>
      <c r="W7" s="7" t="s">
        <v>7</v>
      </c>
      <c r="X7" s="7" t="s">
        <v>7</v>
      </c>
      <c r="Y7" s="19"/>
      <c r="Z7" s="19"/>
      <c r="AA7" s="19"/>
      <c r="AB7" s="19"/>
      <c r="AC7" s="19"/>
      <c r="AD7" s="7" t="s">
        <v>7</v>
      </c>
      <c r="AE7" s="7" t="s">
        <v>7</v>
      </c>
      <c r="AF7" s="19"/>
      <c r="AG7" s="19"/>
      <c r="AH7" s="10">
        <f t="shared" si="1"/>
        <v>0</v>
      </c>
      <c r="AI7" s="11">
        <f t="shared" si="2"/>
        <v>21</v>
      </c>
    </row>
    <row r="8" spans="1:35">
      <c r="A8" s="6"/>
      <c r="B8" s="6"/>
      <c r="C8" s="7" t="s">
        <v>7</v>
      </c>
      <c r="D8" s="8"/>
      <c r="E8" s="8"/>
      <c r="F8" s="9" t="s">
        <v>9</v>
      </c>
      <c r="G8" s="8"/>
      <c r="H8" s="8"/>
      <c r="I8" s="7" t="s">
        <v>7</v>
      </c>
      <c r="J8" s="7" t="s">
        <v>7</v>
      </c>
      <c r="K8" s="8"/>
      <c r="L8" s="8"/>
      <c r="M8" s="8"/>
      <c r="N8" s="8"/>
      <c r="O8" s="8"/>
      <c r="P8" s="7" t="s">
        <v>7</v>
      </c>
      <c r="Q8" s="7" t="s">
        <v>7</v>
      </c>
      <c r="R8" s="19"/>
      <c r="S8" s="19"/>
      <c r="T8" s="19"/>
      <c r="U8" s="19"/>
      <c r="V8" s="19"/>
      <c r="W8" s="7" t="s">
        <v>7</v>
      </c>
      <c r="X8" s="7" t="s">
        <v>7</v>
      </c>
      <c r="Y8" s="19"/>
      <c r="Z8" s="19"/>
      <c r="AA8" s="19"/>
      <c r="AB8" s="19"/>
      <c r="AC8" s="19"/>
      <c r="AD8" s="7" t="s">
        <v>7</v>
      </c>
      <c r="AE8" s="7" t="s">
        <v>7</v>
      </c>
      <c r="AF8" s="19"/>
      <c r="AG8" s="19"/>
      <c r="AH8" s="10">
        <f t="shared" si="1"/>
        <v>0</v>
      </c>
      <c r="AI8" s="11">
        <f t="shared" si="2"/>
        <v>21</v>
      </c>
    </row>
    <row r="9" spans="1:35">
      <c r="A9" s="6"/>
      <c r="B9" s="6"/>
      <c r="C9" s="7" t="s">
        <v>7</v>
      </c>
      <c r="D9" s="8"/>
      <c r="E9" s="8"/>
      <c r="F9" s="9" t="s">
        <v>9</v>
      </c>
      <c r="G9" s="8"/>
      <c r="H9" s="8"/>
      <c r="I9" s="7" t="s">
        <v>7</v>
      </c>
      <c r="J9" s="7" t="s">
        <v>7</v>
      </c>
      <c r="K9" s="8"/>
      <c r="L9" s="8"/>
      <c r="M9" s="8"/>
      <c r="N9" s="8"/>
      <c r="O9" s="8"/>
      <c r="P9" s="7" t="s">
        <v>7</v>
      </c>
      <c r="Q9" s="7" t="s">
        <v>7</v>
      </c>
      <c r="R9" s="19"/>
      <c r="S9" s="19"/>
      <c r="T9" s="19"/>
      <c r="U9" s="19"/>
      <c r="V9" s="19"/>
      <c r="W9" s="7" t="s">
        <v>7</v>
      </c>
      <c r="X9" s="7" t="s">
        <v>7</v>
      </c>
      <c r="Y9" s="19"/>
      <c r="Z9" s="19"/>
      <c r="AA9" s="19"/>
      <c r="AB9" s="19"/>
      <c r="AC9" s="19"/>
      <c r="AD9" s="7" t="s">
        <v>7</v>
      </c>
      <c r="AE9" s="7" t="s">
        <v>7</v>
      </c>
      <c r="AF9" s="19"/>
      <c r="AG9" s="19"/>
      <c r="AH9" s="10">
        <f t="shared" si="1"/>
        <v>0</v>
      </c>
      <c r="AI9" s="11">
        <f t="shared" si="2"/>
        <v>21</v>
      </c>
    </row>
    <row r="10" spans="1:35">
      <c r="A10" s="6"/>
      <c r="B10" s="6"/>
      <c r="C10" s="7" t="s">
        <v>7</v>
      </c>
      <c r="D10" s="8"/>
      <c r="E10" s="8"/>
      <c r="F10" s="9" t="s">
        <v>9</v>
      </c>
      <c r="G10" s="8"/>
      <c r="H10" s="8"/>
      <c r="I10" s="7" t="s">
        <v>7</v>
      </c>
      <c r="J10" s="7" t="s">
        <v>7</v>
      </c>
      <c r="K10" s="8"/>
      <c r="L10" s="8"/>
      <c r="M10" s="8"/>
      <c r="N10" s="8"/>
      <c r="O10" s="8"/>
      <c r="P10" s="7" t="s">
        <v>7</v>
      </c>
      <c r="Q10" s="7" t="s">
        <v>7</v>
      </c>
      <c r="R10" s="19"/>
      <c r="S10" s="19"/>
      <c r="T10" s="19"/>
      <c r="U10" s="19"/>
      <c r="V10" s="19"/>
      <c r="W10" s="7" t="s">
        <v>7</v>
      </c>
      <c r="X10" s="7" t="s">
        <v>7</v>
      </c>
      <c r="Y10" s="19"/>
      <c r="Z10" s="19"/>
      <c r="AA10" s="19"/>
      <c r="AB10" s="19"/>
      <c r="AC10" s="19"/>
      <c r="AD10" s="7" t="s">
        <v>7</v>
      </c>
      <c r="AE10" s="7" t="s">
        <v>7</v>
      </c>
      <c r="AF10" s="19"/>
      <c r="AG10" s="19"/>
      <c r="AH10" s="10">
        <f t="shared" si="1"/>
        <v>0</v>
      </c>
      <c r="AI10" s="11">
        <f t="shared" si="2"/>
        <v>21</v>
      </c>
    </row>
    <row r="11" spans="1:35">
      <c r="A11" s="6"/>
      <c r="B11" s="6"/>
      <c r="C11" s="7" t="s">
        <v>7</v>
      </c>
      <c r="D11" s="8"/>
      <c r="E11" s="8"/>
      <c r="F11" s="9" t="s">
        <v>9</v>
      </c>
      <c r="G11" s="8"/>
      <c r="H11" s="8"/>
      <c r="I11" s="7" t="s">
        <v>7</v>
      </c>
      <c r="J11" s="7" t="s">
        <v>7</v>
      </c>
      <c r="K11" s="8"/>
      <c r="L11" s="8"/>
      <c r="M11" s="8"/>
      <c r="N11" s="8"/>
      <c r="O11" s="8"/>
      <c r="P11" s="7" t="s">
        <v>7</v>
      </c>
      <c r="Q11" s="7" t="s">
        <v>7</v>
      </c>
      <c r="R11" s="19"/>
      <c r="S11" s="19"/>
      <c r="T11" s="19"/>
      <c r="U11" s="19"/>
      <c r="V11" s="19"/>
      <c r="W11" s="7" t="s">
        <v>7</v>
      </c>
      <c r="X11" s="7" t="s">
        <v>7</v>
      </c>
      <c r="Y11" s="19"/>
      <c r="Z11" s="19"/>
      <c r="AA11" s="19"/>
      <c r="AB11" s="19"/>
      <c r="AC11" s="19"/>
      <c r="AD11" s="7" t="s">
        <v>7</v>
      </c>
      <c r="AE11" s="7" t="s">
        <v>7</v>
      </c>
      <c r="AF11" s="19"/>
      <c r="AG11" s="19"/>
      <c r="AH11" s="10">
        <f t="shared" si="1"/>
        <v>0</v>
      </c>
      <c r="AI11" s="11">
        <f t="shared" si="2"/>
        <v>21</v>
      </c>
    </row>
    <row r="12" spans="1:35">
      <c r="A12" s="6"/>
      <c r="B12" s="6"/>
      <c r="C12" s="7" t="s">
        <v>7</v>
      </c>
      <c r="D12" s="8"/>
      <c r="E12" s="8"/>
      <c r="F12" s="9" t="s">
        <v>9</v>
      </c>
      <c r="G12" s="8"/>
      <c r="H12" s="8"/>
      <c r="I12" s="7" t="s">
        <v>7</v>
      </c>
      <c r="J12" s="7" t="s">
        <v>7</v>
      </c>
      <c r="K12" s="8"/>
      <c r="L12" s="8"/>
      <c r="M12" s="8"/>
      <c r="N12" s="8"/>
      <c r="O12" s="8"/>
      <c r="P12" s="7" t="s">
        <v>7</v>
      </c>
      <c r="Q12" s="7" t="s">
        <v>7</v>
      </c>
      <c r="R12" s="19"/>
      <c r="S12" s="19"/>
      <c r="T12" s="19"/>
      <c r="U12" s="19"/>
      <c r="V12" s="19"/>
      <c r="W12" s="7" t="s">
        <v>7</v>
      </c>
      <c r="X12" s="7" t="s">
        <v>7</v>
      </c>
      <c r="Y12" s="19"/>
      <c r="Z12" s="19"/>
      <c r="AA12" s="19"/>
      <c r="AB12" s="19"/>
      <c r="AC12" s="19"/>
      <c r="AD12" s="7" t="s">
        <v>7</v>
      </c>
      <c r="AE12" s="7" t="s">
        <v>7</v>
      </c>
      <c r="AF12" s="19"/>
      <c r="AG12" s="19"/>
      <c r="AH12" s="10">
        <f t="shared" si="1"/>
        <v>0</v>
      </c>
      <c r="AI12" s="11">
        <f t="shared" si="2"/>
        <v>21</v>
      </c>
    </row>
    <row r="13" spans="1:35">
      <c r="A13" s="6"/>
      <c r="B13" s="6"/>
      <c r="C13" s="7" t="s">
        <v>7</v>
      </c>
      <c r="D13" s="8"/>
      <c r="E13" s="8"/>
      <c r="F13" s="9" t="s">
        <v>9</v>
      </c>
      <c r="G13" s="8"/>
      <c r="H13" s="8"/>
      <c r="I13" s="7" t="s">
        <v>7</v>
      </c>
      <c r="J13" s="7" t="s">
        <v>7</v>
      </c>
      <c r="K13" s="8"/>
      <c r="L13" s="8"/>
      <c r="M13" s="8"/>
      <c r="N13" s="8"/>
      <c r="O13" s="8"/>
      <c r="P13" s="7" t="s">
        <v>7</v>
      </c>
      <c r="Q13" s="7" t="s">
        <v>7</v>
      </c>
      <c r="R13" s="19"/>
      <c r="S13" s="19"/>
      <c r="T13" s="19"/>
      <c r="U13" s="19"/>
      <c r="V13" s="19"/>
      <c r="W13" s="7" t="s">
        <v>7</v>
      </c>
      <c r="X13" s="7" t="s">
        <v>7</v>
      </c>
      <c r="Y13" s="19"/>
      <c r="Z13" s="19"/>
      <c r="AA13" s="19"/>
      <c r="AB13" s="18"/>
      <c r="AC13" s="19"/>
      <c r="AD13" s="7" t="s">
        <v>7</v>
      </c>
      <c r="AE13" s="7" t="s">
        <v>7</v>
      </c>
      <c r="AF13" s="19"/>
      <c r="AG13" s="19"/>
      <c r="AH13" s="10">
        <f t="shared" si="1"/>
        <v>0</v>
      </c>
      <c r="AI13" s="11">
        <f t="shared" si="2"/>
        <v>21</v>
      </c>
    </row>
    <row r="14" spans="1:35">
      <c r="A14" s="6"/>
      <c r="B14" s="6"/>
      <c r="C14" s="7" t="s">
        <v>7</v>
      </c>
      <c r="D14" s="8"/>
      <c r="E14" s="8"/>
      <c r="F14" s="9" t="s">
        <v>9</v>
      </c>
      <c r="G14" s="8"/>
      <c r="H14" s="8"/>
      <c r="I14" s="7" t="s">
        <v>7</v>
      </c>
      <c r="J14" s="7" t="s">
        <v>7</v>
      </c>
      <c r="K14" s="8"/>
      <c r="L14" s="8"/>
      <c r="M14" s="8"/>
      <c r="N14" s="8"/>
      <c r="O14" s="8"/>
      <c r="P14" s="7" t="s">
        <v>7</v>
      </c>
      <c r="Q14" s="7" t="s">
        <v>7</v>
      </c>
      <c r="R14" s="19"/>
      <c r="S14" s="19"/>
      <c r="T14" s="19"/>
      <c r="U14" s="19"/>
      <c r="V14" s="19"/>
      <c r="W14" s="7" t="s">
        <v>7</v>
      </c>
      <c r="X14" s="7" t="s">
        <v>7</v>
      </c>
      <c r="Y14" s="19"/>
      <c r="Z14" s="19"/>
      <c r="AA14" s="19"/>
      <c r="AB14" s="19"/>
      <c r="AC14" s="19"/>
      <c r="AD14" s="7" t="s">
        <v>7</v>
      </c>
      <c r="AE14" s="7" t="s">
        <v>7</v>
      </c>
      <c r="AF14" s="19"/>
      <c r="AG14" s="19"/>
      <c r="AH14" s="10">
        <f>COUNTIF(C14:AG14, "PL") + COUNTIF(C14:AG14, "UL")</f>
        <v>0</v>
      </c>
      <c r="AI14" s="11">
        <f>COUNTBLANK(C14:AG14)</f>
        <v>21</v>
      </c>
    </row>
    <row r="15" spans="1:35">
      <c r="A15" s="6"/>
      <c r="B15" s="6"/>
      <c r="C15" s="7" t="s">
        <v>7</v>
      </c>
      <c r="D15" s="8"/>
      <c r="E15" s="8"/>
      <c r="F15" s="9" t="s">
        <v>9</v>
      </c>
      <c r="G15" s="8"/>
      <c r="H15" s="8"/>
      <c r="I15" s="7" t="s">
        <v>7</v>
      </c>
      <c r="J15" s="7" t="s">
        <v>7</v>
      </c>
      <c r="K15" s="8"/>
      <c r="L15" s="8"/>
      <c r="M15" s="8"/>
      <c r="N15" s="8"/>
      <c r="O15" s="8"/>
      <c r="P15" s="7" t="s">
        <v>7</v>
      </c>
      <c r="Q15" s="7" t="s">
        <v>7</v>
      </c>
      <c r="R15" s="19"/>
      <c r="S15" s="19"/>
      <c r="T15" s="19"/>
      <c r="U15" s="19"/>
      <c r="V15" s="19"/>
      <c r="W15" s="7" t="s">
        <v>7</v>
      </c>
      <c r="X15" s="7" t="s">
        <v>7</v>
      </c>
      <c r="Y15" s="19"/>
      <c r="Z15" s="19"/>
      <c r="AA15" s="19"/>
      <c r="AB15" s="19"/>
      <c r="AC15" s="19"/>
      <c r="AD15" s="7" t="s">
        <v>7</v>
      </c>
      <c r="AE15" s="7" t="s">
        <v>7</v>
      </c>
      <c r="AF15" s="19"/>
      <c r="AG15" s="19"/>
      <c r="AH15" s="10">
        <f t="shared" si="1"/>
        <v>0</v>
      </c>
      <c r="AI15" s="11">
        <f t="shared" si="2"/>
        <v>21</v>
      </c>
    </row>
    <row r="16" spans="1:35">
      <c r="A16" s="6"/>
      <c r="B16" s="6"/>
      <c r="C16" s="7" t="s">
        <v>7</v>
      </c>
      <c r="D16" s="8"/>
      <c r="E16" s="8"/>
      <c r="F16" s="9" t="s">
        <v>9</v>
      </c>
      <c r="G16" s="8"/>
      <c r="H16" s="8"/>
      <c r="I16" s="7" t="s">
        <v>7</v>
      </c>
      <c r="J16" s="7" t="s">
        <v>7</v>
      </c>
      <c r="K16" s="8"/>
      <c r="L16" s="8"/>
      <c r="M16" s="8"/>
      <c r="N16" s="8"/>
      <c r="O16" s="8"/>
      <c r="P16" s="7" t="s">
        <v>7</v>
      </c>
      <c r="Q16" s="7" t="s">
        <v>7</v>
      </c>
      <c r="R16" s="19"/>
      <c r="S16" s="19"/>
      <c r="T16" s="19"/>
      <c r="U16" s="19"/>
      <c r="V16" s="19"/>
      <c r="W16" s="7" t="s">
        <v>7</v>
      </c>
      <c r="X16" s="7" t="s">
        <v>7</v>
      </c>
      <c r="Y16" s="19"/>
      <c r="Z16" s="19"/>
      <c r="AA16" s="19"/>
      <c r="AB16" s="19"/>
      <c r="AC16" s="19"/>
      <c r="AD16" s="7" t="s">
        <v>7</v>
      </c>
      <c r="AE16" s="7" t="s">
        <v>7</v>
      </c>
      <c r="AF16" s="19"/>
      <c r="AG16" s="19"/>
      <c r="AH16" s="10">
        <f t="shared" si="1"/>
        <v>0</v>
      </c>
      <c r="AI16" s="11">
        <f t="shared" si="2"/>
        <v>21</v>
      </c>
    </row>
    <row r="17" spans="1:35">
      <c r="A17" s="6"/>
      <c r="B17" s="6"/>
      <c r="C17" s="7" t="s">
        <v>7</v>
      </c>
      <c r="D17" s="8"/>
      <c r="E17" s="8"/>
      <c r="F17" s="9" t="s">
        <v>9</v>
      </c>
      <c r="G17" s="8"/>
      <c r="H17" s="8"/>
      <c r="I17" s="7" t="s">
        <v>7</v>
      </c>
      <c r="J17" s="7" t="s">
        <v>7</v>
      </c>
      <c r="K17" s="8"/>
      <c r="L17" s="8"/>
      <c r="M17" s="8"/>
      <c r="N17" s="8"/>
      <c r="O17" s="8"/>
      <c r="P17" s="7" t="s">
        <v>7</v>
      </c>
      <c r="Q17" s="7" t="s">
        <v>7</v>
      </c>
      <c r="R17" s="19"/>
      <c r="S17" s="19"/>
      <c r="T17" s="19"/>
      <c r="U17" s="19"/>
      <c r="V17" s="19"/>
      <c r="W17" s="7" t="s">
        <v>7</v>
      </c>
      <c r="X17" s="7" t="s">
        <v>7</v>
      </c>
      <c r="Y17" s="19"/>
      <c r="Z17" s="19"/>
      <c r="AA17" s="19"/>
      <c r="AB17" s="19"/>
      <c r="AC17" s="19"/>
      <c r="AD17" s="7" t="s">
        <v>7</v>
      </c>
      <c r="AE17" s="7" t="s">
        <v>7</v>
      </c>
      <c r="AF17" s="19"/>
      <c r="AG17" s="19"/>
      <c r="AH17" s="10">
        <f t="shared" si="1"/>
        <v>0</v>
      </c>
      <c r="AI17" s="11">
        <f t="shared" si="2"/>
        <v>21</v>
      </c>
    </row>
    <row r="18" spans="1:35">
      <c r="A18" s="6"/>
      <c r="B18" s="6"/>
      <c r="C18" s="7" t="s">
        <v>7</v>
      </c>
      <c r="D18" s="8"/>
      <c r="E18" s="8"/>
      <c r="F18" s="9" t="s">
        <v>9</v>
      </c>
      <c r="G18" s="8"/>
      <c r="H18" s="8"/>
      <c r="I18" s="7" t="s">
        <v>7</v>
      </c>
      <c r="J18" s="7" t="s">
        <v>7</v>
      </c>
      <c r="K18" s="8"/>
      <c r="L18" s="8"/>
      <c r="M18" s="8"/>
      <c r="N18" s="8"/>
      <c r="O18" s="8"/>
      <c r="P18" s="7" t="s">
        <v>7</v>
      </c>
      <c r="Q18" s="7" t="s">
        <v>7</v>
      </c>
      <c r="R18" s="19"/>
      <c r="S18" s="19"/>
      <c r="T18" s="19"/>
      <c r="U18" s="19"/>
      <c r="V18" s="19"/>
      <c r="W18" s="7" t="s">
        <v>7</v>
      </c>
      <c r="X18" s="7" t="s">
        <v>7</v>
      </c>
      <c r="Y18" s="19"/>
      <c r="Z18" s="19"/>
      <c r="AA18" s="19"/>
      <c r="AB18" s="19"/>
      <c r="AC18" s="19"/>
      <c r="AD18" s="7" t="s">
        <v>7</v>
      </c>
      <c r="AE18" s="7" t="s">
        <v>7</v>
      </c>
      <c r="AF18" s="19"/>
      <c r="AG18" s="19"/>
      <c r="AH18" s="10">
        <f t="shared" si="1"/>
        <v>0</v>
      </c>
      <c r="AI18" s="11">
        <f t="shared" si="2"/>
        <v>21</v>
      </c>
    </row>
    <row r="19" spans="1:35">
      <c r="A19" s="6"/>
      <c r="B19" s="6"/>
      <c r="C19" s="7" t="s">
        <v>7</v>
      </c>
      <c r="D19" s="8"/>
      <c r="E19" s="8"/>
      <c r="F19" s="9" t="s">
        <v>9</v>
      </c>
      <c r="G19" s="8"/>
      <c r="H19" s="8"/>
      <c r="I19" s="7" t="s">
        <v>7</v>
      </c>
      <c r="J19" s="7" t="s">
        <v>7</v>
      </c>
      <c r="K19" s="8"/>
      <c r="L19" s="8"/>
      <c r="M19" s="8"/>
      <c r="N19" s="8"/>
      <c r="O19" s="8"/>
      <c r="P19" s="7" t="s">
        <v>7</v>
      </c>
      <c r="Q19" s="7" t="s">
        <v>7</v>
      </c>
      <c r="R19" s="19"/>
      <c r="S19" s="19"/>
      <c r="T19" s="19"/>
      <c r="U19" s="19"/>
      <c r="V19" s="19"/>
      <c r="W19" s="7" t="s">
        <v>7</v>
      </c>
      <c r="X19" s="7" t="s">
        <v>7</v>
      </c>
      <c r="Y19" s="19"/>
      <c r="Z19" s="19"/>
      <c r="AA19" s="19"/>
      <c r="AB19" s="19"/>
      <c r="AC19" s="19"/>
      <c r="AD19" s="7" t="s">
        <v>7</v>
      </c>
      <c r="AE19" s="7" t="s">
        <v>7</v>
      </c>
      <c r="AF19" s="19"/>
      <c r="AG19" s="19"/>
      <c r="AH19" s="10">
        <f t="shared" si="1"/>
        <v>0</v>
      </c>
      <c r="AI19" s="11">
        <f t="shared" si="2"/>
        <v>21</v>
      </c>
    </row>
    <row r="20" spans="1:35">
      <c r="A20" s="6"/>
      <c r="B20" s="6"/>
      <c r="C20" s="7" t="s">
        <v>7</v>
      </c>
      <c r="D20" s="8"/>
      <c r="E20" s="8"/>
      <c r="F20" s="9" t="s">
        <v>9</v>
      </c>
      <c r="G20" s="8"/>
      <c r="H20" s="8"/>
      <c r="I20" s="7" t="s">
        <v>7</v>
      </c>
      <c r="J20" s="7" t="s">
        <v>7</v>
      </c>
      <c r="K20" s="8"/>
      <c r="L20" s="8"/>
      <c r="M20" s="8"/>
      <c r="N20" s="8"/>
      <c r="O20" s="8"/>
      <c r="P20" s="7" t="s">
        <v>7</v>
      </c>
      <c r="Q20" s="7" t="s">
        <v>7</v>
      </c>
      <c r="R20" s="19"/>
      <c r="S20" s="19"/>
      <c r="T20" s="19"/>
      <c r="U20" s="19"/>
      <c r="V20" s="19"/>
      <c r="W20" s="7" t="s">
        <v>7</v>
      </c>
      <c r="X20" s="7" t="s">
        <v>7</v>
      </c>
      <c r="Y20" s="19"/>
      <c r="Z20" s="19"/>
      <c r="AA20" s="19"/>
      <c r="AB20" s="19"/>
      <c r="AC20" s="19"/>
      <c r="AD20" s="7" t="s">
        <v>7</v>
      </c>
      <c r="AE20" s="7" t="s">
        <v>7</v>
      </c>
      <c r="AF20" s="19"/>
      <c r="AG20" s="19"/>
      <c r="AH20" s="10">
        <f t="shared" si="1"/>
        <v>0</v>
      </c>
      <c r="AI20" s="11">
        <f t="shared" si="2"/>
        <v>21</v>
      </c>
    </row>
    <row r="21" spans="1:35">
      <c r="A21" s="6"/>
      <c r="B21" s="6"/>
      <c r="C21" s="7" t="s">
        <v>7</v>
      </c>
      <c r="D21" s="8"/>
      <c r="E21" s="8"/>
      <c r="F21" s="9" t="s">
        <v>9</v>
      </c>
      <c r="G21" s="8"/>
      <c r="H21" s="8"/>
      <c r="I21" s="7" t="s">
        <v>7</v>
      </c>
      <c r="J21" s="7" t="s">
        <v>7</v>
      </c>
      <c r="K21" s="8"/>
      <c r="L21" s="8"/>
      <c r="M21" s="8"/>
      <c r="N21" s="8"/>
      <c r="O21" s="8"/>
      <c r="P21" s="7" t="s">
        <v>7</v>
      </c>
      <c r="Q21" s="7" t="s">
        <v>7</v>
      </c>
      <c r="R21" s="19"/>
      <c r="S21" s="19"/>
      <c r="T21" s="19"/>
      <c r="U21" s="19"/>
      <c r="V21" s="19"/>
      <c r="W21" s="7" t="s">
        <v>7</v>
      </c>
      <c r="X21" s="7" t="s">
        <v>7</v>
      </c>
      <c r="Y21" s="19"/>
      <c r="Z21" s="19"/>
      <c r="AA21" s="19"/>
      <c r="AB21" s="19"/>
      <c r="AC21" s="19"/>
      <c r="AD21" s="7" t="s">
        <v>7</v>
      </c>
      <c r="AE21" s="7" t="s">
        <v>7</v>
      </c>
      <c r="AF21" s="19"/>
      <c r="AG21" s="19"/>
      <c r="AH21" s="10">
        <f t="shared" si="1"/>
        <v>0</v>
      </c>
      <c r="AI21" s="11">
        <f t="shared" si="2"/>
        <v>21</v>
      </c>
    </row>
    <row r="22" spans="1:35">
      <c r="A22" s="12"/>
      <c r="B22" s="1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>
        <f>SUM(AH3:AH20)</f>
        <v>5</v>
      </c>
      <c r="AI22">
        <f>SUM(AI3:AI20)</f>
        <v>373</v>
      </c>
    </row>
    <row r="23" spans="1:35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1:35">
      <c r="A24" s="13" t="s">
        <v>16</v>
      </c>
      <c r="B24" s="13" t="s">
        <v>17</v>
      </c>
    </row>
    <row r="25" spans="1:35">
      <c r="A25" s="14" t="s">
        <v>18</v>
      </c>
      <c r="B25" s="14" t="s">
        <v>8</v>
      </c>
    </row>
    <row r="26" spans="1:35">
      <c r="A26" s="14" t="s">
        <v>19</v>
      </c>
      <c r="B26" s="14" t="s">
        <v>9</v>
      </c>
    </row>
    <row r="27" spans="1:35">
      <c r="A27" s="14" t="s">
        <v>20</v>
      </c>
      <c r="B27" s="14" t="s">
        <v>21</v>
      </c>
    </row>
    <row r="28" spans="1:35">
      <c r="A28" s="14" t="s">
        <v>22</v>
      </c>
      <c r="B28" s="14" t="s">
        <v>23</v>
      </c>
    </row>
    <row r="29" spans="1:35">
      <c r="A29" s="14" t="s">
        <v>24</v>
      </c>
      <c r="B29" s="14" t="s">
        <v>25</v>
      </c>
    </row>
  </sheetData>
  <mergeCells count="5">
    <mergeCell ref="AH1:AH2"/>
    <mergeCell ref="AI1:AI2"/>
    <mergeCell ref="C22:E22"/>
    <mergeCell ref="F22:S22"/>
    <mergeCell ref="T22:AG22"/>
  </mergeCells>
  <conditionalFormatting sqref="C2:AG2">
    <cfRule type="cellIs" dxfId="0" priority="1" operator="between">
      <formula>"Saturday"</formula>
      <formula>"Sunday"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58F0-38BF-48CC-87A4-5ED16F6BAE03}">
  <dimension ref="A1:E19"/>
  <sheetViews>
    <sheetView tabSelected="1" workbookViewId="0">
      <selection activeCell="E3" sqref="E3:E19"/>
    </sheetView>
  </sheetViews>
  <sheetFormatPr defaultRowHeight="15"/>
  <cols>
    <col min="1" max="1" width="24.42578125" bestFit="1" customWidth="1"/>
    <col min="2" max="2" width="16.5703125" bestFit="1" customWidth="1"/>
  </cols>
  <sheetData>
    <row r="1" spans="1:5">
      <c r="A1" s="1" t="s">
        <v>0</v>
      </c>
      <c r="B1" s="1"/>
      <c r="C1" s="15" t="s">
        <v>26</v>
      </c>
      <c r="D1" s="15" t="s">
        <v>26</v>
      </c>
      <c r="E1" s="16" t="s">
        <v>1</v>
      </c>
    </row>
    <row r="2" spans="1:5">
      <c r="A2" s="4" t="s">
        <v>3</v>
      </c>
      <c r="B2" s="4" t="s">
        <v>4</v>
      </c>
      <c r="C2" s="15" t="s">
        <v>27</v>
      </c>
      <c r="D2" s="15" t="s">
        <v>28</v>
      </c>
      <c r="E2" s="16"/>
    </row>
    <row r="3" spans="1:5">
      <c r="A3" s="6" t="s">
        <v>5</v>
      </c>
      <c r="B3" s="6" t="s">
        <v>6</v>
      </c>
      <c r="C3" s="8">
        <f>'Mar-26'!AH3</f>
        <v>1</v>
      </c>
      <c r="D3" s="8"/>
      <c r="E3" s="8">
        <f>C3+D3</f>
        <v>1</v>
      </c>
    </row>
    <row r="4" spans="1:5">
      <c r="A4" s="6" t="s">
        <v>10</v>
      </c>
      <c r="B4" s="6" t="s">
        <v>11</v>
      </c>
      <c r="C4" s="8">
        <f>'Mar-26'!AH4</f>
        <v>2</v>
      </c>
      <c r="D4" s="8"/>
      <c r="E4" s="8">
        <f t="shared" ref="E4:E19" si="0">C4+D4</f>
        <v>2</v>
      </c>
    </row>
    <row r="5" spans="1:5">
      <c r="A5" s="6" t="s">
        <v>12</v>
      </c>
      <c r="B5" s="6" t="s">
        <v>13</v>
      </c>
      <c r="C5" s="8">
        <f>'Mar-26'!AH5</f>
        <v>1</v>
      </c>
      <c r="D5" s="8"/>
      <c r="E5" s="8">
        <f t="shared" si="0"/>
        <v>1</v>
      </c>
    </row>
    <row r="6" spans="1:5">
      <c r="A6" s="6" t="s">
        <v>14</v>
      </c>
      <c r="B6" s="6" t="s">
        <v>15</v>
      </c>
      <c r="C6" s="8">
        <f>'Mar-26'!AH6</f>
        <v>1</v>
      </c>
      <c r="D6" s="8"/>
      <c r="E6" s="8">
        <f t="shared" si="0"/>
        <v>1</v>
      </c>
    </row>
    <row r="7" spans="1:5">
      <c r="A7" s="6"/>
      <c r="B7" s="6"/>
      <c r="C7" s="8">
        <f>'Mar-26'!AH7</f>
        <v>0</v>
      </c>
      <c r="D7" s="8"/>
      <c r="E7" s="8">
        <f t="shared" si="0"/>
        <v>0</v>
      </c>
    </row>
    <row r="8" spans="1:5">
      <c r="A8" s="6"/>
      <c r="B8" s="6"/>
      <c r="C8" s="8">
        <f>'Mar-26'!AH8</f>
        <v>0</v>
      </c>
      <c r="D8" s="8"/>
      <c r="E8" s="8">
        <f t="shared" si="0"/>
        <v>0</v>
      </c>
    </row>
    <row r="9" spans="1:5">
      <c r="A9" s="6"/>
      <c r="B9" s="6"/>
      <c r="C9" s="8">
        <f>'Mar-26'!AH9</f>
        <v>0</v>
      </c>
      <c r="D9" s="8"/>
      <c r="E9" s="8">
        <f t="shared" si="0"/>
        <v>0</v>
      </c>
    </row>
    <row r="10" spans="1:5">
      <c r="A10" s="6"/>
      <c r="B10" s="6"/>
      <c r="C10" s="8">
        <f>'Mar-26'!AH10</f>
        <v>0</v>
      </c>
      <c r="D10" s="8"/>
      <c r="E10" s="8">
        <f t="shared" si="0"/>
        <v>0</v>
      </c>
    </row>
    <row r="11" spans="1:5">
      <c r="A11" s="6"/>
      <c r="B11" s="6"/>
      <c r="C11" s="8">
        <f>'Mar-26'!AH11</f>
        <v>0</v>
      </c>
      <c r="D11" s="8"/>
      <c r="E11" s="8">
        <f t="shared" si="0"/>
        <v>0</v>
      </c>
    </row>
    <row r="12" spans="1:5">
      <c r="A12" s="6"/>
      <c r="B12" s="6"/>
      <c r="C12" s="8">
        <f>'Mar-26'!AH12</f>
        <v>0</v>
      </c>
      <c r="D12" s="8"/>
      <c r="E12" s="8">
        <f t="shared" si="0"/>
        <v>0</v>
      </c>
    </row>
    <row r="13" spans="1:5">
      <c r="A13" s="6"/>
      <c r="B13" s="6"/>
      <c r="C13" s="8">
        <f>'Mar-26'!AH13</f>
        <v>0</v>
      </c>
      <c r="D13" s="8"/>
      <c r="E13" s="8">
        <f t="shared" si="0"/>
        <v>0</v>
      </c>
    </row>
    <row r="14" spans="1:5">
      <c r="A14" s="6"/>
      <c r="B14" s="6"/>
      <c r="C14" s="8">
        <f>'Mar-26'!AH14</f>
        <v>0</v>
      </c>
      <c r="D14" s="8"/>
      <c r="E14" s="8">
        <f t="shared" si="0"/>
        <v>0</v>
      </c>
    </row>
    <row r="15" spans="1:5">
      <c r="A15" s="6"/>
      <c r="B15" s="6"/>
      <c r="C15" s="8">
        <f>'Mar-26'!AH15</f>
        <v>0</v>
      </c>
      <c r="D15" s="8"/>
      <c r="E15" s="8">
        <f t="shared" si="0"/>
        <v>0</v>
      </c>
    </row>
    <row r="16" spans="1:5">
      <c r="A16" s="6"/>
      <c r="B16" s="6"/>
      <c r="C16" s="8">
        <f>'Mar-26'!AH16</f>
        <v>0</v>
      </c>
      <c r="D16" s="8"/>
      <c r="E16" s="8">
        <f t="shared" si="0"/>
        <v>0</v>
      </c>
    </row>
    <row r="17" spans="1:5">
      <c r="A17" s="6"/>
      <c r="B17" s="6"/>
      <c r="C17" s="8">
        <f>'Mar-26'!AH17</f>
        <v>0</v>
      </c>
      <c r="D17" s="8"/>
      <c r="E17" s="8">
        <f t="shared" si="0"/>
        <v>0</v>
      </c>
    </row>
    <row r="18" spans="1:5">
      <c r="A18" s="6"/>
      <c r="B18" s="6"/>
      <c r="C18" s="8">
        <f>'Mar-26'!AH18</f>
        <v>0</v>
      </c>
      <c r="D18" s="8"/>
      <c r="E18" s="8">
        <f t="shared" si="0"/>
        <v>0</v>
      </c>
    </row>
    <row r="19" spans="1:5">
      <c r="A19" s="6"/>
      <c r="B19" s="6"/>
      <c r="C19" s="8">
        <f>'Mar-26'!AH19</f>
        <v>0</v>
      </c>
      <c r="D19" s="8"/>
      <c r="E19" s="8">
        <f t="shared" si="0"/>
        <v>0</v>
      </c>
    </row>
  </sheetData>
  <mergeCells count="1"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2026-07-21T07:33:58Z</dcterms:created>
  <dcterms:modified xsi:type="dcterms:W3CDTF">2026-07-21T07:54:49Z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e33a07-ba02-4054-8733-dcc19cae73d6_Enabled">
    <vt:lpwstr>true</vt:lpwstr>
  </property>
  <property fmtid="{D5CDD505-2E9C-101B-9397-08002B2CF9AE}" pid="3" name="MSIP_Label_b5e33a07-ba02-4054-8733-dcc19cae73d6_SetDate">
    <vt:lpwstr>2026-07-21T07:34:21Z</vt:lpwstr>
  </property>
  <property fmtid="{D5CDD505-2E9C-101B-9397-08002B2CF9AE}" pid="4" name="MSIP_Label_b5e33a07-ba02-4054-8733-dcc19cae73d6_Method">
    <vt:lpwstr>Standard</vt:lpwstr>
  </property>
  <property fmtid="{D5CDD505-2E9C-101B-9397-08002B2CF9AE}" pid="5" name="MSIP_Label_b5e33a07-ba02-4054-8733-dcc19cae73d6_Name">
    <vt:lpwstr>General Communications</vt:lpwstr>
  </property>
  <property fmtid="{D5CDD505-2E9C-101B-9397-08002B2CF9AE}" pid="6" name="MSIP_Label_b5e33a07-ba02-4054-8733-dcc19cae73d6_SiteId">
    <vt:lpwstr>ce3ddbe4-610d-4b7d-bef9-a0446da1740b</vt:lpwstr>
  </property>
  <property fmtid="{D5CDD505-2E9C-101B-9397-08002B2CF9AE}" pid="7" name="MSIP_Label_b5e33a07-ba02-4054-8733-dcc19cae73d6_ActionId">
    <vt:lpwstr>8bc62322-78c5-446c-98f2-140e4c2a8f63</vt:lpwstr>
  </property>
  <property fmtid="{D5CDD505-2E9C-101B-9397-08002B2CF9AE}" pid="8" name="MSIP_Label_b5e33a07-ba02-4054-8733-dcc19cae73d6_ContentBits">
    <vt:lpwstr>0</vt:lpwstr>
  </property>
  <property fmtid="{D5CDD505-2E9C-101B-9397-08002B2CF9AE}" pid="9" name="MSIP_Label_b5e33a07-ba02-4054-8733-dcc19cae73d6_Tag">
    <vt:lpwstr>10, 3, 0, 2</vt:lpwstr>
  </property>
</Properties>
</file>